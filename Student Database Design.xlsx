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180"/>
  </bookViews>
  <sheets>
    <sheet name="Sheet1" sheetId="1" r:id="rId1"/>
    <sheet name="Guardr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<sst xmlns="http://schemas.openxmlformats.org/spreadsheetml/2006/main" count="76" uniqueCount="67">
  <si>
    <t>Guardian Details</t>
  </si>
  <si>
    <t>Guardian ID</t>
  </si>
  <si>
    <t>Student Id</t>
  </si>
  <si>
    <t>Name</t>
  </si>
  <si>
    <t>Relation Type</t>
  </si>
  <si>
    <t>Number</t>
  </si>
  <si>
    <t>Year of Birth as per aadhar</t>
  </si>
  <si>
    <t>Mother name</t>
  </si>
  <si>
    <t>Mother</t>
  </si>
  <si>
    <t>Identifier table</t>
  </si>
  <si>
    <t>Student Information</t>
  </si>
  <si>
    <t>AES Encrypted Identifier value</t>
  </si>
  <si>
    <t>Identifier Type</t>
  </si>
  <si>
    <t>identifier last 4 digits</t>
  </si>
  <si>
    <t>nounce</t>
  </si>
  <si>
    <t>tag</t>
  </si>
  <si>
    <t>Same UUID</t>
  </si>
  <si>
    <t>Aadhar</t>
  </si>
  <si>
    <t>iD</t>
  </si>
  <si>
    <t>Current Class</t>
  </si>
  <si>
    <t>Last Updated</t>
  </si>
  <si>
    <t>Date of Join</t>
  </si>
  <si>
    <t>Identifier</t>
  </si>
  <si>
    <t>Class Joined</t>
  </si>
  <si>
    <t>Category</t>
  </si>
  <si>
    <t>Student 1</t>
  </si>
  <si>
    <t>UUID</t>
  </si>
  <si>
    <t>DG 1 / DG 2</t>
  </si>
  <si>
    <t>Student is required to pay for Current Year</t>
  </si>
  <si>
    <r>
      <rPr>
        <b/>
        <sz val="11"/>
        <color theme="1"/>
        <rFont val="Calibri"/>
        <charset val="134"/>
        <scheme val="minor"/>
      </rPr>
      <t>Student x Class</t>
    </r>
    <r>
      <rPr>
        <sz val="11"/>
        <color theme="1"/>
        <rFont val="Calibri"/>
        <charset val="134"/>
        <scheme val="minor"/>
      </rPr>
      <t xml:space="preserve"> - Pay Year iD</t>
    </r>
  </si>
  <si>
    <t>Student_iD</t>
  </si>
  <si>
    <t>Class</t>
  </si>
  <si>
    <t>Sum to Pay amount</t>
  </si>
  <si>
    <t>Tenure Start of Year</t>
  </si>
  <si>
    <t>Tenure End of Year</t>
  </si>
  <si>
    <t>Pradeep</t>
  </si>
  <si>
    <t>Amount Payment Control Central For CY</t>
  </si>
  <si>
    <t>12 records for each year, set by the platform admin. Every year 12 new records are created to maintain payment changes</t>
  </si>
  <si>
    <t>Payment Control ID</t>
  </si>
  <si>
    <t>amount to pay for FY</t>
  </si>
  <si>
    <t>Start date</t>
  </si>
  <si>
    <t>end date</t>
  </si>
  <si>
    <t>is active</t>
  </si>
  <si>
    <t>Payment-2026-1</t>
  </si>
  <si>
    <t>Payment-2026-2</t>
  </si>
  <si>
    <t>Payment-2026-3</t>
  </si>
  <si>
    <t>Payment-2026-4</t>
  </si>
  <si>
    <t>Payment-2026-5</t>
  </si>
  <si>
    <t>Payment-2026-6</t>
  </si>
  <si>
    <t>Payment-2026-7</t>
  </si>
  <si>
    <t>Payment-2025-1</t>
  </si>
  <si>
    <t>Payment-2025-2</t>
  </si>
  <si>
    <t>Billing System</t>
  </si>
  <si>
    <t>Student Payment Tracker Across Years</t>
  </si>
  <si>
    <t>Bill ID</t>
  </si>
  <si>
    <t>Student ID</t>
  </si>
  <si>
    <t>class</t>
  </si>
  <si>
    <t>Payment</t>
  </si>
  <si>
    <t>paid on</t>
  </si>
  <si>
    <t>notes</t>
  </si>
  <si>
    <t>total amount to pay</t>
  </si>
  <si>
    <t>running balance</t>
  </si>
  <si>
    <t>-</t>
  </si>
  <si>
    <t>Guardrails</t>
  </si>
  <si>
    <t>Student who joins 1st standard `Class joined` should only have `current class` upwards. Current class cannot be less than `class joined`</t>
  </si>
  <si>
    <t xml:space="preserve">Joined student for a class is required to pay the amount made for that specific tenure </t>
  </si>
  <si>
    <t>When new criteria is set, the older records are soft deleted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</si>
</sst>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58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58" fontId="0" fillId="0" borderId="0" xfId="0" applyNumberFormat="1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7"/>
  <sheetViews>
    <sheetView tabSelected="1" workbookViewId="0">
      <selection activeCell="C11" sqref="C11"/>
    </sheetView>
  </sheetViews>
  <sheetFormatPr defaultColWidth="9.14285714285714" defaultRowHeight="15"/>
  <cols>
    <col min="2" max="2" width="9.14285714285714" style="1"/>
    <col min="3" max="3" width="19.752380952381" customWidth="1"/>
    <col min="4" max="4" width="19.5047619047619" customWidth="1"/>
    <col min="5" max="5" width="9.28571428571429"/>
    <col min="6" max="6" width="13.5714285714286" customWidth="1"/>
    <col min="7" max="7" width="13.4285714285714" customWidth="1"/>
    <col min="8" max="8" width="17" customWidth="1"/>
    <col min="9" max="9" width="16.4285714285714" customWidth="1"/>
    <col min="10" max="10" width="17.5714285714286" customWidth="1"/>
    <col min="15" max="15" width="15.5714285714286" customWidth="1"/>
    <col min="16" max="16" width="30.5714285714286" customWidth="1"/>
    <col min="17" max="17" width="15.2857142857143" customWidth="1"/>
    <col min="18" max="18" width="21.5714285714286" customWidth="1"/>
    <col min="20" max="20" width="8.14285714285714" customWidth="1"/>
    <col min="21" max="21" width="4.28571428571429" customWidth="1"/>
    <col min="25" max="25" width="9.28571428571429"/>
    <col min="26" max="26" width="11.4285714285714"/>
  </cols>
  <sheetData>
    <row r="1" spans="1:21">
      <c r="A1" s="2" t="s">
        <v>0</v>
      </c>
    </row>
    <row r="2" spans="1:2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21">
      <c r="A3">
        <v>1</v>
      </c>
      <c r="B3" s="1">
        <v>1</v>
      </c>
      <c r="C3" t="s">
        <v>7</v>
      </c>
      <c r="D3" t="s">
        <v>8</v>
      </c>
    </row>
    <row r="4" spans="1:21">
      <c r="A4">
        <v>2</v>
      </c>
    </row>
    <row r="5" spans="1:21">
      <c r="O5" t="s">
        <v>9</v>
      </c>
    </row>
    <row r="6" spans="1:21">
      <c r="C6" s="5"/>
    </row>
    <row r="7" spans="1:21">
      <c r="A7" s="2" t="s">
        <v>10</v>
      </c>
      <c r="O7" s="6" t="s">
        <v>9</v>
      </c>
      <c r="P7" s="6" t="s">
        <v>11</v>
      </c>
      <c r="Q7" s="6" t="s">
        <v>12</v>
      </c>
      <c r="R7" s="6" t="s">
        <v>13</v>
      </c>
      <c r="S7" s="6"/>
      <c r="T7" s="6" t="s">
        <v>14</v>
      </c>
      <c r="U7" s="6" t="s">
        <v>15</v>
      </c>
    </row>
    <row r="8" spans="1:21">
      <c r="B8"/>
      <c r="O8" t="s">
        <v>16</v>
      </c>
      <c r="Q8" t="s">
        <v>17</v>
      </c>
    </row>
    <row r="9" spans="1:21">
      <c r="B9" s="6" t="s">
        <v>18</v>
      </c>
      <c r="C9" s="6" t="s">
        <v>3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12</v>
      </c>
      <c r="I9" s="6" t="s">
        <v>23</v>
      </c>
      <c r="J9" s="6" t="s">
        <v>24</v>
      </c>
      <c r="K9" s="2"/>
      <c r="N9" s="2"/>
    </row>
    <row r="10" spans="1:21">
      <c r="B10">
        <v>1</v>
      </c>
      <c r="C10" t="s">
        <v>25</v>
      </c>
      <c r="D10">
        <v>1</v>
      </c>
      <c r="E10" s="7">
        <f ca="1">TODAY()</f>
        <v>46180</v>
      </c>
      <c r="F10" s="7">
        <f ca="1">TODAY()-600</f>
        <v>45580</v>
      </c>
      <c r="G10" t="s">
        <v>26</v>
      </c>
      <c r="H10" t="s">
        <v>17</v>
      </c>
      <c r="I10">
        <v>1</v>
      </c>
      <c r="J10" t="s">
        <v>27</v>
      </c>
    </row>
    <row r="11" spans="1:21">
      <c r="G11" s="7"/>
      <c r="H11" s="7"/>
    </row>
    <row r="13" spans="1:21">
      <c r="A13" s="2" t="s">
        <v>28</v>
      </c>
    </row>
    <row r="14" spans="1:21">
      <c r="A14" s="2" t="s">
        <v>29</v>
      </c>
      <c r="D14" s="6" t="s">
        <v>30</v>
      </c>
      <c r="E14" s="6" t="s">
        <v>3</v>
      </c>
      <c r="F14" s="6" t="s">
        <v>31</v>
      </c>
      <c r="G14" s="6" t="s">
        <v>32</v>
      </c>
      <c r="H14" s="6" t="s">
        <v>33</v>
      </c>
      <c r="I14" s="6" t="s">
        <v>34</v>
      </c>
    </row>
    <row r="15" spans="1:21">
      <c r="D15">
        <v>1</v>
      </c>
      <c r="E15" t="s">
        <v>35</v>
      </c>
      <c r="F15">
        <v>1</v>
      </c>
      <c r="G15">
        <v>50000</v>
      </c>
      <c r="H15" s="8">
        <v>46174</v>
      </c>
      <c r="I15" s="8">
        <v>46053</v>
      </c>
    </row>
    <row r="19" spans="1:21">
      <c r="A19" t="s">
        <v>36</v>
      </c>
    </row>
    <row r="20" spans="1:21">
      <c r="A20" t="s">
        <v>37</v>
      </c>
    </row>
    <row r="22" spans="1:21">
      <c r="D22" s="6" t="s">
        <v>38</v>
      </c>
      <c r="E22" s="6" t="s">
        <v>31</v>
      </c>
      <c r="F22" s="6" t="s">
        <v>39</v>
      </c>
      <c r="G22" s="6" t="s">
        <v>40</v>
      </c>
      <c r="H22" s="6" t="s">
        <v>41</v>
      </c>
      <c r="I22" s="6" t="s">
        <v>42</v>
      </c>
    </row>
    <row r="23" spans="1:21">
      <c r="D23" t="s">
        <v>43</v>
      </c>
      <c r="E23">
        <v>1</v>
      </c>
      <c r="F23">
        <v>50000</v>
      </c>
      <c r="I23">
        <v>1</v>
      </c>
    </row>
    <row r="24" spans="1:21">
      <c r="D24" t="s">
        <v>44</v>
      </c>
      <c r="E24">
        <v>2</v>
      </c>
      <c r="F24">
        <v>50000</v>
      </c>
      <c r="I24">
        <v>1</v>
      </c>
    </row>
    <row r="25" spans="1:21">
      <c r="D25" t="s">
        <v>45</v>
      </c>
      <c r="E25">
        <v>3</v>
      </c>
      <c r="F25">
        <v>50000</v>
      </c>
      <c r="I25">
        <v>1</v>
      </c>
    </row>
    <row r="26" spans="1:21">
      <c r="D26" t="s">
        <v>46</v>
      </c>
      <c r="E26">
        <v>4</v>
      </c>
      <c r="F26">
        <v>50000</v>
      </c>
      <c r="I26">
        <v>1</v>
      </c>
    </row>
    <row r="27" spans="1:21">
      <c r="D27" t="s">
        <v>47</v>
      </c>
      <c r="E27">
        <v>5</v>
      </c>
      <c r="F27">
        <v>60000</v>
      </c>
      <c r="I27">
        <v>1</v>
      </c>
    </row>
    <row r="28" spans="1:21">
      <c r="D28" t="s">
        <v>48</v>
      </c>
      <c r="E28">
        <v>6</v>
      </c>
      <c r="F28">
        <v>60000</v>
      </c>
      <c r="I28">
        <v>1</v>
      </c>
    </row>
    <row r="29" spans="1:21">
      <c r="D29" t="s">
        <v>49</v>
      </c>
      <c r="E29">
        <v>7</v>
      </c>
      <c r="F29">
        <v>60000</v>
      </c>
      <c r="I29">
        <v>1</v>
      </c>
    </row>
    <row r="30" spans="1:21">
      <c r="D30" t="s">
        <v>50</v>
      </c>
      <c r="E30">
        <v>1</v>
      </c>
      <c r="F30">
        <v>50000</v>
      </c>
      <c r="I30">
        <v>0</v>
      </c>
      <c r="U30" s="5"/>
    </row>
    <row r="31" spans="1:21">
      <c r="D31" t="s">
        <v>51</v>
      </c>
      <c r="E31">
        <v>2</v>
      </c>
      <c r="F31">
        <v>50000</v>
      </c>
      <c r="I31">
        <v>0</v>
      </c>
    </row>
    <row r="32" spans="1:21">
      <c r="A32" s="2" t="s">
        <v>52</v>
      </c>
    </row>
    <row r="33" spans="1:26">
      <c r="A33" t="s">
        <v>53</v>
      </c>
      <c r="Y33" s="7"/>
      <c r="Z33" s="7"/>
    </row>
    <row r="34" spans="1:26">
      <c r="D34" s="6" t="s">
        <v>54</v>
      </c>
      <c r="E34" s="6" t="s">
        <v>55</v>
      </c>
      <c r="F34" s="6" t="s">
        <v>56</v>
      </c>
      <c r="G34" s="6" t="s">
        <v>57</v>
      </c>
      <c r="H34" s="6" t="s">
        <v>58</v>
      </c>
      <c r="I34" s="6" t="s">
        <v>59</v>
      </c>
      <c r="J34" s="6" t="s">
        <v>60</v>
      </c>
      <c r="K34" s="6" t="s">
        <v>61</v>
      </c>
    </row>
    <row r="35" spans="1:26">
      <c r="D35">
        <v>1</v>
      </c>
      <c r="E35" t="s">
        <v>35</v>
      </c>
      <c r="F35">
        <v>1</v>
      </c>
      <c r="G35">
        <v>5000</v>
      </c>
      <c r="H35" s="7">
        <f ca="1">TODAY()</f>
        <v>46180</v>
      </c>
      <c r="I35" t="s">
        <v>62</v>
      </c>
      <c r="J35">
        <v>50000</v>
      </c>
      <c r="K35">
        <v>45000</v>
      </c>
    </row>
    <row r="36" spans="1:26">
      <c r="D36">
        <v>2</v>
      </c>
      <c r="E36" t="s">
        <v>35</v>
      </c>
      <c r="F36">
        <v>1</v>
      </c>
      <c r="G36">
        <v>45000</v>
      </c>
      <c r="H36" s="7">
        <f ca="1">TODAY()+1</f>
        <v>46181</v>
      </c>
      <c r="I36" t="s">
        <v>62</v>
      </c>
      <c r="J36">
        <v>50000</v>
      </c>
      <c r="K36">
        <v>0</v>
      </c>
    </row>
    <row r="37" spans="1:26">
      <c r="D37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4" sqref="A4"/>
    </sheetView>
  </sheetViews>
  <sheetFormatPr defaultColWidth="9.14285714285714" defaultRowHeight="15" outlineLevelRow="3"/>
  <sheetData>
    <row r="1" spans="1:1">
      <c r="A1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Guardrails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whysoseriousoni</dc:creator>
  <cp:lastModifiedBy>whysoseriousoni</cp:lastModifiedBy>
  <dcterms:created xsi:type="dcterms:W3CDTF">2026-06-06T03:32:00Z</dcterms:created>
  <dcterms:modified xsi:type="dcterms:W3CDTF">2026-06-06T18:38:12Z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9326CDF9F40A4C82B531EB04AD1D00BA_11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